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lse\Download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F13" i="1"/>
  <c r="H13" i="1" s="1"/>
  <c r="F12" i="1"/>
  <c r="H12" i="1" s="1"/>
  <c r="G11" i="1"/>
  <c r="F11" i="1"/>
  <c r="H11" i="1" s="1"/>
  <c r="F10" i="1"/>
  <c r="H10" i="1" s="1"/>
  <c r="F9" i="1"/>
  <c r="H9" i="1" s="1"/>
  <c r="F8" i="1"/>
  <c r="G8" i="1" s="1"/>
  <c r="F7" i="1"/>
  <c r="H7" i="1" s="1"/>
  <c r="F6" i="1"/>
  <c r="H6" i="1" s="1"/>
  <c r="H5" i="1"/>
  <c r="G12" i="1" l="1"/>
  <c r="H8" i="1"/>
  <c r="H14" i="1" s="1"/>
  <c r="G9" i="1"/>
  <c r="G13" i="1"/>
  <c r="G7" i="1"/>
  <c r="G6" i="1"/>
  <c r="G14" i="1" s="1"/>
  <c r="G10" i="1"/>
</calcChain>
</file>

<file path=xl/sharedStrings.xml><?xml version="1.0" encoding="utf-8"?>
<sst xmlns="http://schemas.openxmlformats.org/spreadsheetml/2006/main" count="30" uniqueCount="24">
  <si>
    <t>BẢNG THEO DÕI MỦ FSC BĂNG TÂM</t>
  </si>
  <si>
    <t>Ngày: 20/08/2025</t>
  </si>
  <si>
    <t xml:space="preserve">Sản phẩm/ Product: Mủ nước Latex, FSC 100%, Hevea Brasiliensis, CU-FM/COC-903950					</t>
  </si>
  <si>
    <t>STT</t>
  </si>
  <si>
    <t>Tên nhà vườn</t>
  </si>
  <si>
    <t>KG</t>
  </si>
  <si>
    <t>TSC</t>
  </si>
  <si>
    <t>DRC</t>
  </si>
  <si>
    <t>Thành Phẩm</t>
  </si>
  <si>
    <t>Thành Phẩm Ly Tâm</t>
  </si>
  <si>
    <t>Phan Thị Dự</t>
  </si>
  <si>
    <t>Đoàn Thị Diệu Hiền (giang)</t>
  </si>
  <si>
    <t>Hoàng Thị Long (C4)</t>
  </si>
  <si>
    <t>Nguyễn Văn Hải 01 (Thành)</t>
  </si>
  <si>
    <t>Nguyễn Văn Hải 02 (Thành)</t>
  </si>
  <si>
    <t>Nguyễn Văn Hà (Fong)</t>
  </si>
  <si>
    <t>Hồ Thị Hợi (nhi)</t>
  </si>
  <si>
    <t>Hồ Thị Hợi 2 (nhi)</t>
  </si>
  <si>
    <t>Trần Văn Hương (Quốc)</t>
  </si>
  <si>
    <t>Tổng</t>
  </si>
  <si>
    <t>Mã nhà vườn</t>
  </si>
  <si>
    <t>NV_1</t>
  </si>
  <si>
    <t>NV_2</t>
  </si>
  <si>
    <t>NV_3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</si>
</sst>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_);_(@_)"/>
  </numFmts>
  <fonts count="5" x14ac:knownFonts="1">
    <font>
      <sz val="11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1" fillId="0" borderId="1" xfId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1" xfId="1" applyFont="1" applyBorder="1" applyAlignment="1">
      <alignment vertical="center"/>
    </xf>
    <xf numFmtId="164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Comma [0]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B13" sqref="B13"/>
    </sheetView>
  </sheetViews>
  <sheetFormatPr defaultRowHeight="15" x14ac:dyDescent="0.25"/>
  <cols>
    <col min="1" max="1" width="6.5703125" bestFit="1" customWidth="1"/>
    <col min="2" max="2" width="20.5703125" customWidth="1"/>
    <col min="3" max="3" width="31.85546875" bestFit="1" customWidth="1"/>
    <col min="4" max="4" width="9.42578125" bestFit="1" customWidth="1"/>
    <col min="5" max="5" width="6.7109375" bestFit="1" customWidth="1"/>
    <col min="7" max="7" width="15.85546875" customWidth="1"/>
    <col min="8" max="8" width="18.5703125" bestFit="1" customWidth="1"/>
  </cols>
  <sheetData>
    <row r="1" spans="1:8" ht="18.75" x14ac:dyDescent="0.25">
      <c r="A1" s="16" t="s">
        <v>0</v>
      </c>
      <c r="B1" s="16"/>
      <c r="C1" s="16"/>
      <c r="D1" s="16"/>
      <c r="E1" s="16"/>
      <c r="F1" s="16"/>
      <c r="G1" s="16"/>
    </row>
    <row r="2" spans="1:8" ht="18.75" x14ac:dyDescent="0.25">
      <c r="A2" s="16" t="s">
        <v>1</v>
      </c>
      <c r="B2" s="16"/>
      <c r="C2" s="16"/>
      <c r="D2" s="16"/>
      <c r="E2" s="16"/>
      <c r="F2" s="16"/>
      <c r="G2" s="16"/>
    </row>
    <row r="3" spans="1:8" ht="18.75" x14ac:dyDescent="0.25">
      <c r="A3" s="16" t="s">
        <v>2</v>
      </c>
      <c r="B3" s="16"/>
      <c r="C3" s="16"/>
      <c r="D3" s="16"/>
      <c r="E3" s="16"/>
      <c r="F3" s="16"/>
      <c r="G3" s="16"/>
    </row>
    <row r="4" spans="1:8" ht="18.75" x14ac:dyDescent="0.25">
      <c r="A4" s="1" t="s">
        <v>3</v>
      </c>
      <c r="B4" s="1" t="s">
        <v>20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2" t="s">
        <v>9</v>
      </c>
    </row>
    <row r="5" spans="1:8" ht="18.75" x14ac:dyDescent="0.3">
      <c r="A5" s="3">
        <v>1</v>
      </c>
      <c r="B5" s="3" t="s">
        <v>21</v>
      </c>
      <c r="C5" s="4" t="s">
        <v>10</v>
      </c>
      <c r="D5" s="9">
        <v>47</v>
      </c>
      <c r="E5" s="9">
        <v>47</v>
      </c>
      <c r="F5" s="9">
        <v>47</v>
      </c>
      <c r="G5" s="9">
        <v>47</v>
      </c>
      <c r="H5" s="7">
        <f>(D5*E5*0.91)/61.5</f>
        <v>32.686016260162603</v>
      </c>
    </row>
    <row r="6" spans="1:8" ht="18.75" x14ac:dyDescent="0.3">
      <c r="A6" s="3">
        <v>2</v>
      </c>
      <c r="B6" s="3" t="s">
        <v>21</v>
      </c>
      <c r="C6" s="4" t="s">
        <v>11</v>
      </c>
      <c r="D6" s="5">
        <v>532</v>
      </c>
      <c r="E6" s="9">
        <v>47</v>
      </c>
      <c r="F6" s="6">
        <f t="shared" ref="F6:F13" si="0">E6-3</f>
        <v>44</v>
      </c>
      <c r="G6" s="7">
        <f>D6*F6/100</f>
        <v>234.08</v>
      </c>
      <c r="H6" s="7">
        <f>D6*F6/100*1.5</f>
        <v>351.12</v>
      </c>
    </row>
    <row r="7" spans="1:8" ht="18.75" x14ac:dyDescent="0.3">
      <c r="A7" s="8">
        <v>3</v>
      </c>
      <c r="B7" s="3" t="s">
        <v>21</v>
      </c>
      <c r="C7" s="9" t="s">
        <v>12</v>
      </c>
      <c r="D7" s="9">
        <v>721</v>
      </c>
      <c r="E7" s="9">
        <v>32.200000000000003</v>
      </c>
      <c r="F7" s="6">
        <f t="shared" si="0"/>
        <v>29.200000000000003</v>
      </c>
      <c r="G7" s="7">
        <f t="shared" ref="G7:G13" si="1">D7*F7/100</f>
        <v>210.53200000000001</v>
      </c>
      <c r="H7" s="7">
        <f t="shared" ref="H7:H13" si="2">D7*F7/100*1.5</f>
        <v>315.798</v>
      </c>
    </row>
    <row r="8" spans="1:8" ht="18.75" x14ac:dyDescent="0.3">
      <c r="A8" s="8">
        <v>4</v>
      </c>
      <c r="B8" s="3" t="s">
        <v>22</v>
      </c>
      <c r="C8" s="9" t="s">
        <v>13</v>
      </c>
      <c r="D8" s="9">
        <v>220</v>
      </c>
      <c r="E8" s="9">
        <v>33.200000000000003</v>
      </c>
      <c r="F8" s="6">
        <f t="shared" si="0"/>
        <v>30.200000000000003</v>
      </c>
      <c r="G8" s="7">
        <f t="shared" si="1"/>
        <v>66.440000000000012</v>
      </c>
      <c r="H8" s="7">
        <f t="shared" si="2"/>
        <v>99.660000000000025</v>
      </c>
    </row>
    <row r="9" spans="1:8" ht="18.75" x14ac:dyDescent="0.3">
      <c r="A9" s="8">
        <v>5</v>
      </c>
      <c r="B9" s="3" t="s">
        <v>22</v>
      </c>
      <c r="C9" s="9" t="s">
        <v>14</v>
      </c>
      <c r="D9" s="9">
        <v>324</v>
      </c>
      <c r="E9" s="9">
        <v>27.6</v>
      </c>
      <c r="F9" s="6">
        <f t="shared" si="0"/>
        <v>24.6</v>
      </c>
      <c r="G9" s="7">
        <f t="shared" si="1"/>
        <v>79.704000000000008</v>
      </c>
      <c r="H9" s="7">
        <f t="shared" si="2"/>
        <v>119.55600000000001</v>
      </c>
    </row>
    <row r="10" spans="1:8" ht="18.75" x14ac:dyDescent="0.3">
      <c r="A10" s="8">
        <v>6</v>
      </c>
      <c r="B10" s="3" t="s">
        <v>22</v>
      </c>
      <c r="C10" s="10" t="s">
        <v>15</v>
      </c>
      <c r="D10" s="9">
        <v>275</v>
      </c>
      <c r="E10" s="9">
        <v>41.2</v>
      </c>
      <c r="F10" s="6">
        <f t="shared" si="0"/>
        <v>38.200000000000003</v>
      </c>
      <c r="G10" s="7">
        <f t="shared" si="1"/>
        <v>105.05</v>
      </c>
      <c r="H10" s="7">
        <f t="shared" si="2"/>
        <v>157.57499999999999</v>
      </c>
    </row>
    <row r="11" spans="1:8" ht="18.75" x14ac:dyDescent="0.3">
      <c r="A11" s="8">
        <v>7</v>
      </c>
      <c r="B11" s="3" t="s">
        <v>22</v>
      </c>
      <c r="C11" s="10" t="s">
        <v>16</v>
      </c>
      <c r="D11" s="9">
        <v>47</v>
      </c>
      <c r="E11" s="9">
        <v>33.1</v>
      </c>
      <c r="F11" s="6">
        <f t="shared" si="0"/>
        <v>30.1</v>
      </c>
      <c r="G11" s="7">
        <f t="shared" si="1"/>
        <v>14.147</v>
      </c>
      <c r="H11" s="7">
        <f t="shared" si="2"/>
        <v>21.220500000000001</v>
      </c>
    </row>
    <row r="12" spans="1:8" ht="18.75" x14ac:dyDescent="0.3">
      <c r="A12" s="8">
        <v>8</v>
      </c>
      <c r="B12" s="3" t="s">
        <v>23</v>
      </c>
      <c r="C12" s="10" t="s">
        <v>17</v>
      </c>
      <c r="D12" s="9">
        <v>47</v>
      </c>
      <c r="E12" s="9">
        <v>47</v>
      </c>
      <c r="F12" s="6">
        <f t="shared" si="0"/>
        <v>44</v>
      </c>
      <c r="G12" s="7">
        <f t="shared" si="1"/>
        <v>20.68</v>
      </c>
      <c r="H12" s="7">
        <f t="shared" si="2"/>
        <v>31.02</v>
      </c>
    </row>
    <row r="13" spans="1:8" ht="18.75" x14ac:dyDescent="0.3">
      <c r="A13" s="8">
        <v>9</v>
      </c>
      <c r="B13" s="3" t="s">
        <v>23</v>
      </c>
      <c r="C13" s="10" t="s">
        <v>18</v>
      </c>
      <c r="D13" s="9">
        <v>477</v>
      </c>
      <c r="E13" s="9">
        <v>32.6</v>
      </c>
      <c r="F13" s="6">
        <f t="shared" si="0"/>
        <v>29.6</v>
      </c>
      <c r="G13" s="7">
        <f t="shared" si="1"/>
        <v>141.19200000000001</v>
      </c>
      <c r="H13" s="7">
        <f t="shared" si="2"/>
        <v>211.78800000000001</v>
      </c>
    </row>
    <row r="14" spans="1:8" ht="18.75" x14ac:dyDescent="0.25">
      <c r="A14" s="17" t="s">
        <v>19</v>
      </c>
      <c r="B14" s="19"/>
      <c r="C14" s="18"/>
      <c r="D14" s="11">
        <f>SUM(D5:D13)</f>
        <v>2690</v>
      </c>
      <c r="E14" s="12"/>
      <c r="F14" s="13"/>
      <c r="G14" s="14">
        <f>SUM(G5:G13)</f>
        <v>918.82500000000005</v>
      </c>
      <c r="H14" s="15">
        <f>SUM(H5:H13)</f>
        <v>1340.4235162601626</v>
      </c>
    </row>
  </sheetData>
  <mergeCells count="4">
    <mergeCell ref="A1:G1"/>
    <mergeCell ref="A2:G2"/>
    <mergeCell ref="A3:G3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Cilse</dc:creator>
  <cp:lastModifiedBy>Cilse</cp:lastModifiedBy>
  <dcterms:created xsi:type="dcterms:W3CDTF">2025-11-04T14:51:32Z</dcterms:created>
  <dcterms:modified xsi:type="dcterms:W3CDTF">2025-11-04T15:39:03Z</dcterms:modified>
</cp:coreProperties>
</file>